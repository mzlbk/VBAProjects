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A\Downloads\"/>
    </mc:Choice>
  </mc:AlternateContent>
  <xr:revisionPtr revIDLastSave="0" documentId="13_ncr:1_{774DBBA4-1E9F-4FD3-9759-A97A08704F53}" xr6:coauthVersionLast="47" xr6:coauthVersionMax="47" xr10:uidLastSave="{00000000-0000-0000-0000-000000000000}"/>
  <bookViews>
    <workbookView xWindow="-120" yWindow="-120" windowWidth="29040" windowHeight="15990" tabRatio="705" xr2:uid="{00000000-000D-0000-FFFF-FFFF00000000}"/>
  </bookViews>
  <sheets>
    <sheet name="Giri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" l="1"/>
  <c r="Q2" i="1"/>
  <c r="Q3" i="1" s="1"/>
  <c r="Q5" i="1" l="1"/>
</calcChain>
</file>

<file path=xl/sharedStrings.xml><?xml version="1.0" encoding="utf-8"?>
<sst xmlns="http://schemas.openxmlformats.org/spreadsheetml/2006/main" count="85" uniqueCount="55">
  <si>
    <t>PET</t>
  </si>
  <si>
    <t>24/23</t>
  </si>
  <si>
    <t>25/23</t>
  </si>
  <si>
    <t>83.#06RT-B863</t>
  </si>
  <si>
    <t>83.#01YU-B001</t>
  </si>
  <si>
    <t>12C-S474</t>
  </si>
  <si>
    <t>12C-T596</t>
  </si>
  <si>
    <t xml:space="preserve">Yılın Kaçıncı Günü </t>
  </si>
  <si>
    <t>Kaçıncı PP'deyiz</t>
  </si>
  <si>
    <t>Otomatik VON-PET Çekmek İçin Hazır Veri</t>
  </si>
  <si>
    <t>Hangi Yıldayız (son 2 karakter)</t>
  </si>
  <si>
    <t>vonPP Girdisi</t>
  </si>
  <si>
    <t>vonPP Düzenlenmiş Çıktı</t>
  </si>
  <si>
    <t>Gelecekte Var mı?</t>
  </si>
  <si>
    <t>Varsa Şase Numarası</t>
  </si>
  <si>
    <t>ID</t>
  </si>
  <si>
    <t>Satış Grubu</t>
  </si>
  <si>
    <t>vonPP girilmezse 
otomatik olarak günümüz PP tarihini vonPP olarak çekecektir.</t>
  </si>
  <si>
    <t>Var-Tüh</t>
  </si>
  <si>
    <t>Yok-Rahatsın</t>
  </si>
  <si>
    <t>83.74700.8515</t>
  </si>
  <si>
    <t>83.27600.8016</t>
  </si>
  <si>
    <t>83.77901.8354</t>
  </si>
  <si>
    <t>83.76403.8267</t>
  </si>
  <si>
    <t>83.25202.8332</t>
  </si>
  <si>
    <t>34.25403.8274</t>
  </si>
  <si>
    <t>83.97801.8070</t>
  </si>
  <si>
    <t>34.77101.8347</t>
  </si>
  <si>
    <t>36.76303.8054</t>
  </si>
  <si>
    <t>83.25430.8058</t>
  </si>
  <si>
    <t>83.76330.8373</t>
  </si>
  <si>
    <t>83.76201.8465 </t>
  </si>
  <si>
    <t>VT.#0D2T-0001</t>
  </si>
  <si>
    <t>83.#0D2T-0001</t>
  </si>
  <si>
    <t>83.#03HJ-B020</t>
  </si>
  <si>
    <t>83.#0810-B295</t>
  </si>
  <si>
    <t>33.#06YM-B077</t>
  </si>
  <si>
    <t>83.#06YM-B020</t>
  </si>
  <si>
    <t>83.#0AMV-B036</t>
  </si>
  <si>
    <t>33.#0E7V-B014</t>
  </si>
  <si>
    <t>83.#0E7V-0009</t>
  </si>
  <si>
    <t>83.#0PAV-0002</t>
  </si>
  <si>
    <t>83.#06RT-B931</t>
  </si>
  <si>
    <t>83.#04NU-B005</t>
  </si>
  <si>
    <t>83.#0SNV-B039</t>
  </si>
  <si>
    <t>Parça Numarası</t>
  </si>
  <si>
    <t>ID sütunundaki verileri M334A'da sorgulamak için sağdaki butona basınız.</t>
  </si>
  <si>
    <t>SN22A'da sorgulamak 
istenilen verileri sırayla A sütununa 2. satırdan itibaren yazınız ve sağdaki butona basınız.</t>
  </si>
  <si>
    <t>*PET info is not necessary to fill.</t>
  </si>
  <si>
    <t>*If ST info is not filled, Macro takes values in 'P stand'</t>
  </si>
  <si>
    <t>A Sütununda 320 Satır Girdi 2096 Satır E Grubuna Çıktı Verdi</t>
  </si>
  <si>
    <t>SN22A + M334A makronun çalışma
 süresi 320 satır girdi verince 1 saat sürdü</t>
  </si>
  <si>
    <t>D ve E sütununda Tekrar Eden 
Satış Gruplarını Silmeyi Unutmayın!</t>
  </si>
  <si>
    <t>GESAMT</t>
  </si>
  <si>
    <t>*Please write sales groups and 'ZSB's under A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</si>
</sst>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1"/>
      <color rgb="FF000000"/>
      <name val="Arial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3" fillId="0" borderId="2" xfId="0" applyFont="1" applyBorder="1" applyAlignment="1">
      <alignment vertical="top" wrapText="1"/>
    </xf>
    <xf numFmtId="0" fontId="0" fillId="2" borderId="0" xfId="0" applyNumberFormat="1" applyFill="1"/>
    <xf numFmtId="0" fontId="0" fillId="0" borderId="0" xfId="0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0</xdr:row>
      <xdr:rowOff>177800</xdr:rowOff>
    </xdr:from>
    <xdr:to>
      <xdr:col>15</xdr:col>
      <xdr:colOff>0</xdr:colOff>
      <xdr:row>5</xdr:row>
      <xdr:rowOff>171450</xdr:rowOff>
    </xdr:to>
    <xdr:sp macro="[0]!_xludf.Ru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134849" y="177800"/>
          <a:ext cx="1819276" cy="908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3600"/>
            <a:t>SN22A</a:t>
          </a:r>
        </a:p>
      </xdr:txBody>
    </xdr:sp>
    <xdr:clientData/>
  </xdr:twoCellAnchor>
  <xdr:twoCellAnchor>
    <xdr:from>
      <xdr:col>12</xdr:col>
      <xdr:colOff>0</xdr:colOff>
      <xdr:row>10</xdr:row>
      <xdr:rowOff>0</xdr:rowOff>
    </xdr:from>
    <xdr:to>
      <xdr:col>15</xdr:col>
      <xdr:colOff>0</xdr:colOff>
      <xdr:row>14</xdr:row>
      <xdr:rowOff>8467</xdr:rowOff>
    </xdr:to>
    <xdr:sp macro="[0]!RunM334a" textlink="">
      <xdr:nvSpPr>
        <xdr:cNvPr id="3" name="Rectangle 1">
          <a:extLst>
            <a:ext uri="{FF2B5EF4-FFF2-40B4-BE49-F238E27FC236}">
              <a16:creationId xmlns:a16="http://schemas.microsoft.com/office/drawing/2014/main" id="{4B5A5CEF-114A-42B8-8BB7-750328DBE3C1}"/>
            </a:ext>
          </a:extLst>
        </xdr:cNvPr>
        <xdr:cNvSpPr/>
      </xdr:nvSpPr>
      <xdr:spPr>
        <a:xfrm>
          <a:off x="12125325" y="1819275"/>
          <a:ext cx="1838325" cy="7323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3600"/>
            <a:t>M334A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21"/>
  <sheetViews>
    <sheetView tabSelected="1" zoomScaleNormal="100" workbookViewId="0">
      <selection activeCell="G22" sqref="G22"/>
    </sheetView>
  </sheetViews>
  <sheetFormatPr defaultRowHeight="15" x14ac:dyDescent="0.25"/>
  <cols>
    <col min="1" max="1" width="24.85546875" style="5" bestFit="1" customWidth="1"/>
    <col min="2" max="2" width="12.28515625" style="2" bestFit="1" customWidth="1"/>
    <col min="3" max="3" width="22.42578125" style="2" bestFit="1" customWidth="1"/>
    <col min="4" max="4" width="17.5703125" style="2" customWidth="1"/>
    <col min="5" max="6" width="19.42578125" style="2" customWidth="1"/>
    <col min="7" max="7" width="18.5703125" style="2" bestFit="1" customWidth="1"/>
    <col min="8" max="8" width="12.5703125" style="2" customWidth="1"/>
    <col min="9" max="9" width="12.5703125" style="8" customWidth="1"/>
    <col min="10" max="10" width="9.140625" style="2"/>
    <col min="16" max="16" width="36.85546875" bestFit="1" customWidth="1"/>
    <col min="18" max="18" width="17" customWidth="1"/>
  </cols>
  <sheetData>
    <row r="1" spans="1:17" ht="15.75" thickBot="1" x14ac:dyDescent="0.3">
      <c r="A1" s="4" t="s">
        <v>45</v>
      </c>
      <c r="B1" s="1" t="s">
        <v>11</v>
      </c>
      <c r="C1" s="1" t="s">
        <v>12</v>
      </c>
      <c r="D1" s="1" t="s">
        <v>15</v>
      </c>
      <c r="E1" s="1" t="s">
        <v>16</v>
      </c>
      <c r="F1" s="1" t="s">
        <v>13</v>
      </c>
      <c r="G1" s="1" t="s">
        <v>14</v>
      </c>
      <c r="H1" s="1" t="s">
        <v>0</v>
      </c>
      <c r="I1" s="1" t="s">
        <v>53</v>
      </c>
      <c r="N1" t="s">
        <v>54</v>
      </c>
    </row>
    <row r="2" spans="1:17" ht="14.45" customHeight="1" x14ac:dyDescent="0.25">
      <c r="A2" s="9" t="s">
        <v>20</v>
      </c>
      <c r="D2" s="2" t="s">
        <v>20</v>
      </c>
      <c r="E2" s="2" t="s">
        <v>4</v>
      </c>
      <c r="F2" s="2" t="s">
        <v>18</v>
      </c>
      <c r="G2" s="2" t="s">
        <v>5</v>
      </c>
      <c r="H2" s="2" t="s">
        <v>1</v>
      </c>
      <c r="I2" s="8">
        <v>24</v>
      </c>
      <c r="J2" s="12" t="s">
        <v>47</v>
      </c>
      <c r="K2" s="12"/>
      <c r="L2" s="12"/>
      <c r="N2" t="s">
        <v>48</v>
      </c>
      <c r="O2" t="s">
        <v>48</v>
      </c>
      <c r="P2" t="s">
        <v>7</v>
      </c>
      <c r="Q2">
        <f ca="1">TODAY()-DATE(YEAR(TODAY()),1,1)+1</f>
        <v>126</v>
      </c>
    </row>
    <row r="3" spans="1:17" x14ac:dyDescent="0.25">
      <c r="A3" s="9" t="s">
        <v>21</v>
      </c>
      <c r="D3" s="2" t="s">
        <v>21</v>
      </c>
      <c r="E3" s="2" t="s">
        <v>32</v>
      </c>
      <c r="F3" s="2" t="s">
        <v>19</v>
      </c>
      <c r="J3" s="12"/>
      <c r="K3" s="12"/>
      <c r="L3" s="12"/>
      <c r="N3" t="s">
        <v>49</v>
      </c>
      <c r="O3" t="s">
        <v>49</v>
      </c>
      <c r="P3" t="s">
        <v>8</v>
      </c>
      <c r="Q3">
        <f ca="1">INT(Q2/10)</f>
        <v>12</v>
      </c>
    </row>
    <row r="4" spans="1:17" x14ac:dyDescent="0.25">
      <c r="A4" s="9" t="s">
        <v>22</v>
      </c>
      <c r="D4" s="2" t="s">
        <v>21</v>
      </c>
      <c r="E4" s="2" t="s">
        <v>33</v>
      </c>
      <c r="F4" s="2" t="s">
        <v>19</v>
      </c>
      <c r="J4" s="12"/>
      <c r="K4" s="12"/>
      <c r="L4" s="12"/>
      <c r="P4" s="3" t="s">
        <v>10</v>
      </c>
      <c r="Q4" t="str">
        <f ca="1">RIGHT(YEAR(TODAY()),2)</f>
        <v>24</v>
      </c>
    </row>
    <row r="5" spans="1:17" x14ac:dyDescent="0.25">
      <c r="A5" s="9" t="s">
        <v>23</v>
      </c>
      <c r="D5" s="2" t="s">
        <v>22</v>
      </c>
      <c r="E5" s="2" t="s">
        <v>34</v>
      </c>
      <c r="F5" s="2" t="s">
        <v>19</v>
      </c>
      <c r="J5" s="12"/>
      <c r="K5" s="12"/>
      <c r="L5" s="12"/>
      <c r="P5" s="7" t="s">
        <v>9</v>
      </c>
      <c r="Q5" t="str">
        <f ca="1">CONCATENATE(Q3,"/",Q4)</f>
        <v>12/24</v>
      </c>
    </row>
    <row r="6" spans="1:17" ht="14.45" customHeight="1" x14ac:dyDescent="0.25">
      <c r="A6" s="9" t="s">
        <v>24</v>
      </c>
      <c r="D6" s="2" t="s">
        <v>23</v>
      </c>
      <c r="E6" s="2" t="s">
        <v>35</v>
      </c>
      <c r="F6" s="2" t="s">
        <v>19</v>
      </c>
      <c r="J6" s="12"/>
      <c r="K6" s="12"/>
      <c r="L6" s="12"/>
    </row>
    <row r="7" spans="1:17" x14ac:dyDescent="0.25">
      <c r="A7" s="9" t="s">
        <v>25</v>
      </c>
      <c r="D7" s="2" t="s">
        <v>25</v>
      </c>
      <c r="E7" s="2" t="s">
        <v>36</v>
      </c>
      <c r="F7" s="2" t="s">
        <v>19</v>
      </c>
      <c r="J7" s="10" t="s">
        <v>17</v>
      </c>
      <c r="K7" s="11"/>
      <c r="L7" s="11"/>
    </row>
    <row r="8" spans="1:17" x14ac:dyDescent="0.25">
      <c r="A8" s="9" t="s">
        <v>26</v>
      </c>
      <c r="D8" s="2" t="s">
        <v>25</v>
      </c>
      <c r="E8" s="2" t="s">
        <v>3</v>
      </c>
      <c r="F8" s="2" t="s">
        <v>19</v>
      </c>
      <c r="J8" s="11"/>
      <c r="K8" s="11"/>
      <c r="L8" s="11"/>
    </row>
    <row r="9" spans="1:17" x14ac:dyDescent="0.25">
      <c r="A9" s="9" t="s">
        <v>27</v>
      </c>
      <c r="D9" s="2" t="s">
        <v>25</v>
      </c>
      <c r="E9" s="2" t="s">
        <v>37</v>
      </c>
      <c r="F9" s="2" t="s">
        <v>19</v>
      </c>
      <c r="J9" s="11"/>
      <c r="K9" s="11"/>
      <c r="L9" s="11"/>
    </row>
    <row r="10" spans="1:17" x14ac:dyDescent="0.25">
      <c r="A10" s="9" t="s">
        <v>28</v>
      </c>
      <c r="D10" s="2" t="s">
        <v>26</v>
      </c>
      <c r="E10" s="2" t="s">
        <v>38</v>
      </c>
      <c r="F10" s="2" t="s">
        <v>19</v>
      </c>
      <c r="J10" s="11"/>
      <c r="K10" s="11"/>
      <c r="L10" s="11"/>
    </row>
    <row r="11" spans="1:17" ht="14.45" customHeight="1" x14ac:dyDescent="0.25">
      <c r="A11" s="9" t="s">
        <v>29</v>
      </c>
      <c r="D11" s="2" t="s">
        <v>27</v>
      </c>
      <c r="E11" s="2" t="s">
        <v>39</v>
      </c>
      <c r="F11" s="2" t="s">
        <v>19</v>
      </c>
      <c r="J11" s="12" t="s">
        <v>46</v>
      </c>
      <c r="K11" s="12"/>
      <c r="L11" s="12"/>
    </row>
    <row r="12" spans="1:17" x14ac:dyDescent="0.25">
      <c r="A12" s="9" t="s">
        <v>30</v>
      </c>
      <c r="D12" s="2" t="s">
        <v>27</v>
      </c>
      <c r="E12" s="2" t="s">
        <v>40</v>
      </c>
      <c r="F12" s="2" t="s">
        <v>19</v>
      </c>
      <c r="J12" s="12"/>
      <c r="K12" s="12"/>
      <c r="L12" s="12"/>
    </row>
    <row r="13" spans="1:17" x14ac:dyDescent="0.25">
      <c r="A13" s="9" t="s">
        <v>31</v>
      </c>
      <c r="D13" s="2" t="s">
        <v>28</v>
      </c>
      <c r="E13" s="2" t="s">
        <v>41</v>
      </c>
      <c r="F13" s="2" t="s">
        <v>18</v>
      </c>
      <c r="G13" s="2" t="s">
        <v>6</v>
      </c>
      <c r="H13" s="2" t="s">
        <v>2</v>
      </c>
      <c r="I13" s="8">
        <v>48</v>
      </c>
      <c r="J13" s="12"/>
      <c r="K13" s="12"/>
      <c r="L13" s="12"/>
    </row>
    <row r="14" spans="1:17" x14ac:dyDescent="0.25">
      <c r="A14" s="9"/>
      <c r="D14" s="2" t="s">
        <v>29</v>
      </c>
      <c r="E14" s="2" t="s">
        <v>42</v>
      </c>
      <c r="F14" s="2" t="s">
        <v>19</v>
      </c>
      <c r="J14" s="12"/>
      <c r="K14" s="12"/>
      <c r="L14" s="12"/>
    </row>
    <row r="15" spans="1:17" x14ac:dyDescent="0.25">
      <c r="A15" s="6"/>
      <c r="D15" s="2" t="s">
        <v>30</v>
      </c>
      <c r="E15" s="2" t="s">
        <v>43</v>
      </c>
      <c r="F15" s="2" t="s">
        <v>19</v>
      </c>
    </row>
    <row r="16" spans="1:17" x14ac:dyDescent="0.25">
      <c r="A16" s="6"/>
      <c r="D16" s="2" t="s">
        <v>31</v>
      </c>
      <c r="E16" s="2" t="s">
        <v>44</v>
      </c>
      <c r="F16" s="2" t="s">
        <v>19</v>
      </c>
      <c r="J16" s="13" t="s">
        <v>50</v>
      </c>
      <c r="K16" s="13"/>
      <c r="L16" s="13"/>
      <c r="M16" s="13"/>
      <c r="N16" s="13"/>
      <c r="O16" s="13"/>
    </row>
    <row r="17" spans="1:15" x14ac:dyDescent="0.25">
      <c r="A17" s="6"/>
      <c r="J17" s="10" t="s">
        <v>51</v>
      </c>
      <c r="K17" s="11"/>
      <c r="L17" s="11"/>
      <c r="M17" s="11"/>
      <c r="N17" s="11"/>
      <c r="O17" s="11"/>
    </row>
    <row r="18" spans="1:15" x14ac:dyDescent="0.25">
      <c r="A18" s="6"/>
      <c r="J18" s="11"/>
      <c r="K18" s="11"/>
      <c r="L18" s="11"/>
      <c r="M18" s="11"/>
      <c r="N18" s="11"/>
      <c r="O18" s="11"/>
    </row>
    <row r="19" spans="1:15" x14ac:dyDescent="0.25">
      <c r="A19" s="6"/>
      <c r="J19" s="11"/>
      <c r="K19" s="11"/>
      <c r="L19" s="11"/>
      <c r="M19" s="11"/>
      <c r="N19" s="11"/>
      <c r="O19" s="11"/>
    </row>
    <row r="20" spans="1:15" x14ac:dyDescent="0.25">
      <c r="A20" s="6"/>
      <c r="J20" s="10" t="s">
        <v>52</v>
      </c>
      <c r="K20" s="11"/>
      <c r="L20" s="11"/>
      <c r="M20" s="11"/>
      <c r="N20" s="11"/>
      <c r="O20" s="11"/>
    </row>
    <row r="21" spans="1:15" x14ac:dyDescent="0.25">
      <c r="A21" s="6"/>
      <c r="J21" s="11"/>
      <c r="K21" s="11"/>
      <c r="L21" s="11"/>
      <c r="M21" s="11"/>
      <c r="N21" s="11"/>
      <c r="O21" s="11"/>
    </row>
    <row r="22" spans="1:15" x14ac:dyDescent="0.25">
      <c r="A22" s="6"/>
      <c r="J22" s="11"/>
      <c r="K22" s="11"/>
      <c r="L22" s="11"/>
      <c r="M22" s="11"/>
      <c r="N22" s="11"/>
      <c r="O22" s="11"/>
    </row>
    <row r="23" spans="1:15" x14ac:dyDescent="0.25">
      <c r="A23" s="6"/>
    </row>
    <row r="24" spans="1:15" x14ac:dyDescent="0.25">
      <c r="A24" s="6"/>
    </row>
    <row r="25" spans="1:15" x14ac:dyDescent="0.25">
      <c r="A25" s="6"/>
    </row>
    <row r="26" spans="1:15" x14ac:dyDescent="0.25">
      <c r="A26" s="6"/>
    </row>
    <row r="27" spans="1:15" x14ac:dyDescent="0.25">
      <c r="A27" s="6"/>
    </row>
    <row r="28" spans="1:15" x14ac:dyDescent="0.25">
      <c r="A28" s="6"/>
    </row>
    <row r="29" spans="1:15" x14ac:dyDescent="0.25">
      <c r="A29" s="6"/>
    </row>
    <row r="30" spans="1:15" x14ac:dyDescent="0.25">
      <c r="A30" s="6"/>
    </row>
    <row r="31" spans="1:15" x14ac:dyDescent="0.25">
      <c r="A31" s="6"/>
    </row>
    <row r="32" spans="1:15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</sheetData>
  <mergeCells count="6">
    <mergeCell ref="J20:O22"/>
    <mergeCell ref="J2:L6"/>
    <mergeCell ref="J7:L10"/>
    <mergeCell ref="J11:L14"/>
    <mergeCell ref="J16:O16"/>
    <mergeCell ref="J17:O19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Giris</vt:lpstr>
    </vt:vector>
  </TitlesOfParts>
  <Company>Volkswagen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Bedirhan Aydın</dc:creator>
  <cp:keywords>mzlbk;BeA</cp:keywords>
  <cp:lastModifiedBy>Bedirhan Aydın</cp:lastModifiedBy>
  <dcterms:created xsi:type="dcterms:W3CDTF">2019-01-15T14:37:21Z</dcterms:created>
  <dcterms:modified xsi:type="dcterms:W3CDTF">2024-05-05T06:48:12Z</dcterms:modified>
</cp:coreProperties>
</file>